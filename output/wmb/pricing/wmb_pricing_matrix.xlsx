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Greenhouse" sheetId="2" state="visible" r:id="rId2"/>
    <sheet name="Spyg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x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color rgb="00000000"/>
      <sz val="11"/>
    </font>
    <font>
      <name val="Arial"/>
      <i val="1"/>
      <color rgb="00000000"/>
      <sz val="10"/>
    </font>
    <font>
      <name val="Arial"/>
      <color rgb="00000000"/>
      <sz val="9"/>
    </font>
    <font>
      <name val="Arial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595959"/>
      </patternFill>
    </fill>
    <fill>
      <patternFill patternType="solid">
        <fgColor rgb="00FEFEF5"/>
      </patternFill>
    </fill>
    <fill>
      <patternFill patternType="solid">
        <fgColor rgb="00FFFDF2"/>
      </patternFill>
    </fill>
    <fill>
      <patternFill patternType="solid">
        <fgColor rgb="00FFF9F2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5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164" fontId="5" fillId="15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center" vertical="center" wrapText="1"/>
    </xf>
    <xf numFmtId="164" fontId="5" fillId="17" borderId="1" applyAlignment="1" pivotButton="0" quotePrefix="0" xfId="0">
      <alignment horizontal="center" vertical="center" wrapText="1"/>
    </xf>
    <xf numFmtId="164" fontId="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4" customWidth="1" min="4" max="4"/>
    <col width="16" customWidth="1" min="5" max="5"/>
    <col width="4" customWidth="1" min="6" max="6"/>
    <col width="24" customWidth="1" min="7" max="7"/>
    <col width="14" customWidth="1" min="8" max="8"/>
    <col width="14" customWidth="1" min="9" max="9"/>
    <col width="2" customWidth="1" min="10" max="10"/>
  </cols>
  <sheetData>
    <row r="1" ht="30" customHeight="1">
      <c r="A1" s="1" t="inlineStr">
        <is>
          <t>WMB PRICING MATRIX — ASSUMPTIONS</t>
        </is>
      </c>
    </row>
    <row r="3">
      <c r="A3" s="2" t="inlineStr">
        <is>
          <t>ANCHOR RATE &amp; PRODUCT PREMIUMS</t>
        </is>
      </c>
      <c r="H3" s="2" t="inlineStr">
        <is>
          <t>MONTH → SEASON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Units</t>
        </is>
      </c>
      <c r="D4" s="3" t="inlineStr">
        <is>
          <t>Notes</t>
        </is>
      </c>
      <c r="H4" s="3" t="inlineStr">
        <is>
          <t>Month</t>
        </is>
      </c>
      <c r="I4" s="3" t="inlineStr">
        <is>
          <t>Season</t>
        </is>
      </c>
      <c r="J4" s="3" t="inlineStr">
        <is>
          <t>Season Index</t>
        </is>
      </c>
    </row>
    <row r="5">
      <c r="A5" s="4" t="inlineStr">
        <is>
          <t>Anchor Rate  (GH · Low · Mon–Wed)</t>
        </is>
      </c>
      <c r="B5" s="5" t="n">
        <v>345</v>
      </c>
      <c r="C5" s="6" t="inlineStr">
        <is>
          <t>USD / night</t>
        </is>
      </c>
      <c r="D5" s="7" t="inlineStr">
        <is>
          <t>Change this cell to shift all rates</t>
        </is>
      </c>
      <c r="H5" s="4" t="inlineStr">
        <is>
          <t>January</t>
        </is>
      </c>
      <c r="I5" s="8" t="inlineStr">
        <is>
          <t>Low</t>
        </is>
      </c>
    </row>
    <row r="6">
      <c r="A6" s="4" t="inlineStr">
        <is>
          <t>Greenhouse Premium</t>
        </is>
      </c>
      <c r="B6" s="9" t="n">
        <v>1</v>
      </c>
      <c r="C6" s="6" t="inlineStr">
        <is>
          <t>× Greenhouse rate</t>
        </is>
      </c>
      <c r="D6" s="7" t="inlineStr">
        <is>
          <t>Applied to all Greenhouse cells</t>
        </is>
      </c>
      <c r="H6" s="4" t="inlineStr">
        <is>
          <t>February</t>
        </is>
      </c>
      <c r="I6" s="10" t="inlineStr">
        <is>
          <t>Shoulder</t>
        </is>
      </c>
    </row>
    <row r="7">
      <c r="A7" s="4" t="inlineStr">
        <is>
          <t>Spyglass Premium</t>
        </is>
      </c>
      <c r="B7" s="9" t="n">
        <v>1.2</v>
      </c>
      <c r="C7" s="6" t="inlineStr">
        <is>
          <t>× Greenhouse rate</t>
        </is>
      </c>
      <c r="D7" s="7" t="inlineStr">
        <is>
          <t>Applied to all Greenhouse cells</t>
        </is>
      </c>
      <c r="H7" s="4" t="inlineStr">
        <is>
          <t>March</t>
        </is>
      </c>
      <c r="I7" s="11" t="inlineStr">
        <is>
          <t>High</t>
        </is>
      </c>
    </row>
    <row r="8">
      <c r="H8" s="4" t="inlineStr">
        <is>
          <t>April</t>
        </is>
      </c>
      <c r="I8" s="11" t="inlineStr">
        <is>
          <t>High</t>
        </is>
      </c>
    </row>
    <row r="9">
      <c r="A9" s="2" t="inlineStr">
        <is>
          <t>SEASONAL TIER INDICES</t>
        </is>
      </c>
      <c r="H9" s="4" t="inlineStr">
        <is>
          <t>May</t>
        </is>
      </c>
      <c r="I9" s="12" t="inlineStr">
        <is>
          <t>Peak</t>
        </is>
      </c>
    </row>
    <row r="10">
      <c r="A10" s="3" t="inlineStr">
        <is>
          <t>Season</t>
        </is>
      </c>
      <c r="B10" s="3" t="inlineStr">
        <is>
          <t>Months</t>
        </is>
      </c>
      <c r="C10" s="3" t="inlineStr">
        <is>
          <t>Occ% (2025)</t>
        </is>
      </c>
      <c r="D10" s="3" t="inlineStr">
        <is>
          <t>Index</t>
        </is>
      </c>
      <c r="E10" s="3" t="inlineStr">
        <is>
          <t>Eff. × Anchor</t>
        </is>
      </c>
      <c r="H10" s="4" t="inlineStr">
        <is>
          <t>June</t>
        </is>
      </c>
      <c r="I10" s="12" t="inlineStr">
        <is>
          <t>Peak</t>
        </is>
      </c>
    </row>
    <row r="11">
      <c r="A11" s="12" t="inlineStr">
        <is>
          <t>Peak</t>
        </is>
      </c>
      <c r="B11" s="13" t="inlineStr">
        <is>
          <t>May, Jun</t>
        </is>
      </c>
      <c r="C11" s="6" t="inlineStr"/>
      <c r="D11" s="9" t="n">
        <v>1.3</v>
      </c>
      <c r="E11" s="14">
        <f>D11/D14</f>
        <v/>
      </c>
      <c r="H11" s="4" t="inlineStr">
        <is>
          <t>July</t>
        </is>
      </c>
      <c r="I11" s="8" t="inlineStr">
        <is>
          <t>Low</t>
        </is>
      </c>
    </row>
    <row r="12">
      <c r="A12" s="11" t="inlineStr">
        <is>
          <t>High</t>
        </is>
      </c>
      <c r="B12" s="13" t="inlineStr">
        <is>
          <t>Mar, Apr, Oct, Dec</t>
        </is>
      </c>
      <c r="C12" s="6" t="inlineStr"/>
      <c r="D12" s="9" t="n">
        <v>1.15</v>
      </c>
      <c r="E12" s="14">
        <f>D12/D14</f>
        <v/>
      </c>
      <c r="H12" s="4" t="inlineStr">
        <is>
          <t>August</t>
        </is>
      </c>
      <c r="I12" s="10" t="inlineStr">
        <is>
          <t>Shoulder</t>
        </is>
      </c>
    </row>
    <row r="13">
      <c r="A13" s="10" t="inlineStr">
        <is>
          <t>Shoulder</t>
        </is>
      </c>
      <c r="B13" s="13" t="inlineStr">
        <is>
          <t>Feb, Aug, Sep, Nov</t>
        </is>
      </c>
      <c r="C13" s="6" t="inlineStr"/>
      <c r="D13" s="9" t="n">
        <v>1</v>
      </c>
      <c r="E13" s="14">
        <f>D13/D14</f>
        <v/>
      </c>
      <c r="H13" s="4" t="inlineStr">
        <is>
          <t>September</t>
        </is>
      </c>
      <c r="I13" s="10" t="inlineStr">
        <is>
          <t>Shoulder</t>
        </is>
      </c>
    </row>
    <row r="14">
      <c r="A14" s="8" t="inlineStr">
        <is>
          <t>Low</t>
        </is>
      </c>
      <c r="B14" s="13" t="inlineStr">
        <is>
          <t>Jan, Jul</t>
        </is>
      </c>
      <c r="C14" s="6" t="inlineStr"/>
      <c r="D14" s="9" t="n">
        <v>0.85</v>
      </c>
      <c r="E14" s="14">
        <f>D14/D14</f>
        <v/>
      </c>
      <c r="H14" s="4" t="inlineStr">
        <is>
          <t>October</t>
        </is>
      </c>
      <c r="I14" s="11" t="inlineStr">
        <is>
          <t>High</t>
        </is>
      </c>
    </row>
    <row r="15">
      <c r="H15" s="4" t="inlineStr">
        <is>
          <t>November</t>
        </is>
      </c>
      <c r="I15" s="10" t="inlineStr">
        <is>
          <t>Shoulder</t>
        </is>
      </c>
    </row>
    <row r="16">
      <c r="A16" s="2" t="inlineStr">
        <is>
          <t>DAY-OF-WEEK TIER INDICES</t>
        </is>
      </c>
      <c r="H16" s="4" t="inlineStr">
        <is>
          <t>December</t>
        </is>
      </c>
      <c r="I16" s="11" t="inlineStr">
        <is>
          <t>High</t>
        </is>
      </c>
    </row>
    <row r="17">
      <c r="A17" s="3" t="inlineStr">
        <is>
          <t>Tier</t>
        </is>
      </c>
      <c r="B17" s="3" t="inlineStr">
        <is>
          <t>Days</t>
        </is>
      </c>
      <c r="C17" s="3" t="inlineStr">
        <is>
          <t>Occ%</t>
        </is>
      </c>
      <c r="D17" s="3" t="inlineStr">
        <is>
          <t>Index</t>
        </is>
      </c>
      <c r="E17" s="3" t="inlineStr">
        <is>
          <t>Eff. × Anchor DOW</t>
        </is>
      </c>
    </row>
    <row r="18">
      <c r="A18" s="15" t="inlineStr">
        <is>
          <t>D5</t>
        </is>
      </c>
      <c r="B18" s="13" t="inlineStr">
        <is>
          <t>Saturday</t>
        </is>
      </c>
      <c r="C18" s="6" t="inlineStr"/>
      <c r="D18" s="9" t="n">
        <v>1.9</v>
      </c>
      <c r="E18" s="14">
        <f>D18/D22</f>
        <v/>
      </c>
    </row>
    <row r="19">
      <c r="A19" s="16" t="inlineStr">
        <is>
          <t>D4</t>
        </is>
      </c>
      <c r="B19" s="13" t="inlineStr">
        <is>
          <t>Friday</t>
        </is>
      </c>
      <c r="C19" s="6" t="inlineStr"/>
      <c r="D19" s="9" t="n">
        <v>1.4</v>
      </c>
      <c r="E19" s="14">
        <f>D19/D22</f>
        <v/>
      </c>
    </row>
    <row r="20">
      <c r="A20" s="17" t="inlineStr">
        <is>
          <t>D3</t>
        </is>
      </c>
      <c r="B20" s="13" t="inlineStr">
        <is>
          <t>Sunday</t>
        </is>
      </c>
      <c r="C20" s="6" t="inlineStr"/>
      <c r="D20" s="9" t="n">
        <v>1.22</v>
      </c>
      <c r="E20" s="14">
        <f>D20/D22</f>
        <v/>
      </c>
    </row>
    <row r="21">
      <c r="A21" s="18" t="inlineStr">
        <is>
          <t>D2</t>
        </is>
      </c>
      <c r="B21" s="13" t="inlineStr">
        <is>
          <t>Thursday</t>
        </is>
      </c>
      <c r="C21" s="6" t="inlineStr"/>
      <c r="D21" s="9" t="n">
        <v>1.15</v>
      </c>
      <c r="E21" s="14">
        <f>D21/D22</f>
        <v/>
      </c>
    </row>
    <row r="22">
      <c r="A22" s="3" t="inlineStr">
        <is>
          <t>D1</t>
        </is>
      </c>
      <c r="B22" s="13" t="inlineStr">
        <is>
          <t>Monday, Tuesday, Wednesday</t>
        </is>
      </c>
      <c r="C22" s="6" t="inlineStr"/>
      <c r="D22" s="9" t="n">
        <v>1.05</v>
      </c>
      <c r="E22" s="14">
        <f>D22/D22</f>
        <v/>
      </c>
    </row>
  </sheetData>
  <mergeCells count="5">
    <mergeCell ref="A16:F16"/>
    <mergeCell ref="A1:F1"/>
    <mergeCell ref="A9:F9"/>
    <mergeCell ref="A3:F3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1" t="inlineStr">
        <is>
          <t>GREENHOUSE — NIGHTLY RATE MATRIX (USD)</t>
        </is>
      </c>
    </row>
    <row r="2" ht="15" customHeight="1">
      <c r="A2" s="19" t="inlineStr">
        <is>
          <t>All rates are formulas — change Anchor on Assumptions tab to shift everything</t>
        </is>
      </c>
    </row>
    <row r="3" ht="14" customHeight="1">
      <c r="A3" s="20" t="inlineStr">
        <is>
          <t>Month \ DOW</t>
        </is>
      </c>
      <c r="B3" s="21" t="inlineStr">
        <is>
          <t>D1</t>
        </is>
      </c>
      <c r="C3" s="21" t="inlineStr">
        <is>
          <t>D1</t>
        </is>
      </c>
      <c r="D3" s="21" t="inlineStr">
        <is>
          <t>D1</t>
        </is>
      </c>
      <c r="E3" s="22" t="inlineStr">
        <is>
          <t>D2</t>
        </is>
      </c>
      <c r="F3" s="23" t="inlineStr">
        <is>
          <t>D4</t>
        </is>
      </c>
      <c r="G3" s="24" t="inlineStr">
        <is>
          <t>D5</t>
        </is>
      </c>
      <c r="H3" s="25" t="inlineStr">
        <is>
          <t>D3</t>
        </is>
      </c>
    </row>
    <row r="4" ht="22" customHeight="1"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18" t="inlineStr">
        <is>
          <t>Thu</t>
        </is>
      </c>
      <c r="F4" s="16" t="inlineStr">
        <is>
          <t>Fri</t>
        </is>
      </c>
      <c r="G4" s="15" t="inlineStr">
        <is>
          <t>Sat</t>
        </is>
      </c>
      <c r="H4" s="17" t="inlineStr">
        <is>
          <t>Sun</t>
        </is>
      </c>
    </row>
    <row r="5" ht="20" customHeight="1">
      <c r="A5" s="8" t="inlineStr">
        <is>
          <t>January</t>
        </is>
      </c>
      <c r="B5" s="26">
        <f>ROUND(Assumptions!$B$5*(Assumptions!$D$14/Assumptions!$D$14)*(Assumptions!$D$22/Assumptions!$D$22)*Assumptions!$B$6,0)</f>
        <v/>
      </c>
      <c r="C5" s="26">
        <f>ROUND(Assumptions!$B$5*(Assumptions!$D$14/Assumptions!$D$14)*(Assumptions!$D$22/Assumptions!$D$22)*Assumptions!$B$6,0)</f>
        <v/>
      </c>
      <c r="D5" s="26">
        <f>ROUND(Assumptions!$B$5*(Assumptions!$D$14/Assumptions!$D$14)*(Assumptions!$D$22/Assumptions!$D$22)*Assumptions!$B$6,0)</f>
        <v/>
      </c>
      <c r="E5" s="26">
        <f>ROUND(Assumptions!$B$5*(Assumptions!$D$14/Assumptions!$D$14)*(Assumptions!$D$21/Assumptions!$D$22)*Assumptions!$B$6,0)</f>
        <v/>
      </c>
      <c r="F5" s="26">
        <f>ROUND(Assumptions!$B$5*(Assumptions!$D$14/Assumptions!$D$14)*(Assumptions!$D$19/Assumptions!$D$22)*Assumptions!$B$6,0)</f>
        <v/>
      </c>
      <c r="G5" s="26">
        <f>ROUND(Assumptions!$B$5*(Assumptions!$D$14/Assumptions!$D$14)*(Assumptions!$D$18/Assumptions!$D$22)*Assumptions!$B$6,0)</f>
        <v/>
      </c>
      <c r="H5" s="26">
        <f>ROUND(Assumptions!$B$5*(Assumptions!$D$14/Assumptions!$D$14)*(Assumptions!$D$20/Assumptions!$D$22)*Assumptions!$B$6,0)</f>
        <v/>
      </c>
    </row>
    <row r="6" ht="20" customHeight="1">
      <c r="A6" s="10" t="inlineStr">
        <is>
          <t>February</t>
        </is>
      </c>
      <c r="B6" s="27">
        <f>ROUND(Assumptions!$B$5*(Assumptions!$D$13/Assumptions!$D$14)*(Assumptions!$D$22/Assumptions!$D$22)*Assumptions!$B$6,0)</f>
        <v/>
      </c>
      <c r="C6" s="27">
        <f>ROUND(Assumptions!$B$5*(Assumptions!$D$13/Assumptions!$D$14)*(Assumptions!$D$22/Assumptions!$D$22)*Assumptions!$B$6,0)</f>
        <v/>
      </c>
      <c r="D6" s="27">
        <f>ROUND(Assumptions!$B$5*(Assumptions!$D$13/Assumptions!$D$14)*(Assumptions!$D$22/Assumptions!$D$22)*Assumptions!$B$6,0)</f>
        <v/>
      </c>
      <c r="E6" s="27">
        <f>ROUND(Assumptions!$B$5*(Assumptions!$D$13/Assumptions!$D$14)*(Assumptions!$D$21/Assumptions!$D$22)*Assumptions!$B$6,0)</f>
        <v/>
      </c>
      <c r="F6" s="27">
        <f>ROUND(Assumptions!$B$5*(Assumptions!$D$13/Assumptions!$D$14)*(Assumptions!$D$19/Assumptions!$D$22)*Assumptions!$B$6,0)</f>
        <v/>
      </c>
      <c r="G6" s="27">
        <f>ROUND(Assumptions!$B$5*(Assumptions!$D$13/Assumptions!$D$14)*(Assumptions!$D$18/Assumptions!$D$22)*Assumptions!$B$6,0)</f>
        <v/>
      </c>
      <c r="H6" s="27">
        <f>ROUND(Assumptions!$B$5*(Assumptions!$D$13/Assumptions!$D$14)*(Assumptions!$D$20/Assumptions!$D$22)*Assumptions!$B$6,0)</f>
        <v/>
      </c>
    </row>
    <row r="7" ht="20" customHeight="1">
      <c r="A7" s="11" t="inlineStr">
        <is>
          <t>March</t>
        </is>
      </c>
      <c r="B7" s="28">
        <f>ROUND(Assumptions!$B$5*(Assumptions!$D$12/Assumptions!$D$14)*(Assumptions!$D$22/Assumptions!$D$22)*Assumptions!$B$6,0)</f>
        <v/>
      </c>
      <c r="C7" s="28">
        <f>ROUND(Assumptions!$B$5*(Assumptions!$D$12/Assumptions!$D$14)*(Assumptions!$D$22/Assumptions!$D$22)*Assumptions!$B$6,0)</f>
        <v/>
      </c>
      <c r="D7" s="28">
        <f>ROUND(Assumptions!$B$5*(Assumptions!$D$12/Assumptions!$D$14)*(Assumptions!$D$22/Assumptions!$D$22)*Assumptions!$B$6,0)</f>
        <v/>
      </c>
      <c r="E7" s="28">
        <f>ROUND(Assumptions!$B$5*(Assumptions!$D$12/Assumptions!$D$14)*(Assumptions!$D$21/Assumptions!$D$22)*Assumptions!$B$6,0)</f>
        <v/>
      </c>
      <c r="F7" s="28">
        <f>ROUND(Assumptions!$B$5*(Assumptions!$D$12/Assumptions!$D$14)*(Assumptions!$D$19/Assumptions!$D$22)*Assumptions!$B$6,0)</f>
        <v/>
      </c>
      <c r="G7" s="28">
        <f>ROUND(Assumptions!$B$5*(Assumptions!$D$12/Assumptions!$D$14)*(Assumptions!$D$18/Assumptions!$D$22)*Assumptions!$B$6,0)</f>
        <v/>
      </c>
      <c r="H7" s="28">
        <f>ROUND(Assumptions!$B$5*(Assumptions!$D$12/Assumptions!$D$14)*(Assumptions!$D$20/Assumptions!$D$22)*Assumptions!$B$6,0)</f>
        <v/>
      </c>
    </row>
    <row r="8" ht="20" customHeight="1">
      <c r="A8" s="11" t="inlineStr">
        <is>
          <t>April</t>
        </is>
      </c>
      <c r="B8" s="28">
        <f>ROUND(Assumptions!$B$5*(Assumptions!$D$12/Assumptions!$D$14)*(Assumptions!$D$22/Assumptions!$D$22)*Assumptions!$B$6,0)</f>
        <v/>
      </c>
      <c r="C8" s="28">
        <f>ROUND(Assumptions!$B$5*(Assumptions!$D$12/Assumptions!$D$14)*(Assumptions!$D$22/Assumptions!$D$22)*Assumptions!$B$6,0)</f>
        <v/>
      </c>
      <c r="D8" s="28">
        <f>ROUND(Assumptions!$B$5*(Assumptions!$D$12/Assumptions!$D$14)*(Assumptions!$D$22/Assumptions!$D$22)*Assumptions!$B$6,0)</f>
        <v/>
      </c>
      <c r="E8" s="28">
        <f>ROUND(Assumptions!$B$5*(Assumptions!$D$12/Assumptions!$D$14)*(Assumptions!$D$21/Assumptions!$D$22)*Assumptions!$B$6,0)</f>
        <v/>
      </c>
      <c r="F8" s="28">
        <f>ROUND(Assumptions!$B$5*(Assumptions!$D$12/Assumptions!$D$14)*(Assumptions!$D$19/Assumptions!$D$22)*Assumptions!$B$6,0)</f>
        <v/>
      </c>
      <c r="G8" s="28">
        <f>ROUND(Assumptions!$B$5*(Assumptions!$D$12/Assumptions!$D$14)*(Assumptions!$D$18/Assumptions!$D$22)*Assumptions!$B$6,0)</f>
        <v/>
      </c>
      <c r="H8" s="28">
        <f>ROUND(Assumptions!$B$5*(Assumptions!$D$12/Assumptions!$D$14)*(Assumptions!$D$20/Assumptions!$D$22)*Assumptions!$B$6,0)</f>
        <v/>
      </c>
    </row>
    <row r="9" ht="20" customHeight="1">
      <c r="A9" s="12" t="inlineStr">
        <is>
          <t>May</t>
        </is>
      </c>
      <c r="B9" s="29">
        <f>ROUND(Assumptions!$B$5*(Assumptions!$D$11/Assumptions!$D$14)*(Assumptions!$D$22/Assumptions!$D$22)*Assumptions!$B$6,0)</f>
        <v/>
      </c>
      <c r="C9" s="29">
        <f>ROUND(Assumptions!$B$5*(Assumptions!$D$11/Assumptions!$D$14)*(Assumptions!$D$22/Assumptions!$D$22)*Assumptions!$B$6,0)</f>
        <v/>
      </c>
      <c r="D9" s="29">
        <f>ROUND(Assumptions!$B$5*(Assumptions!$D$11/Assumptions!$D$14)*(Assumptions!$D$22/Assumptions!$D$22)*Assumptions!$B$6,0)</f>
        <v/>
      </c>
      <c r="E9" s="29">
        <f>ROUND(Assumptions!$B$5*(Assumptions!$D$11/Assumptions!$D$14)*(Assumptions!$D$21/Assumptions!$D$22)*Assumptions!$B$6,0)</f>
        <v/>
      </c>
      <c r="F9" s="29">
        <f>ROUND(Assumptions!$B$5*(Assumptions!$D$11/Assumptions!$D$14)*(Assumptions!$D$19/Assumptions!$D$22)*Assumptions!$B$6,0)</f>
        <v/>
      </c>
      <c r="G9" s="29">
        <f>ROUND(Assumptions!$B$5*(Assumptions!$D$11/Assumptions!$D$14)*(Assumptions!$D$18/Assumptions!$D$22)*Assumptions!$B$6,0)</f>
        <v/>
      </c>
      <c r="H9" s="29">
        <f>ROUND(Assumptions!$B$5*(Assumptions!$D$11/Assumptions!$D$14)*(Assumptions!$D$20/Assumptions!$D$22)*Assumptions!$B$6,0)</f>
        <v/>
      </c>
    </row>
    <row r="10" ht="20" customHeight="1">
      <c r="A10" s="12" t="inlineStr">
        <is>
          <t>June</t>
        </is>
      </c>
      <c r="B10" s="29">
        <f>ROUND(Assumptions!$B$5*(Assumptions!$D$11/Assumptions!$D$14)*(Assumptions!$D$22/Assumptions!$D$22)*Assumptions!$B$6,0)</f>
        <v/>
      </c>
      <c r="C10" s="29">
        <f>ROUND(Assumptions!$B$5*(Assumptions!$D$11/Assumptions!$D$14)*(Assumptions!$D$22/Assumptions!$D$22)*Assumptions!$B$6,0)</f>
        <v/>
      </c>
      <c r="D10" s="29">
        <f>ROUND(Assumptions!$B$5*(Assumptions!$D$11/Assumptions!$D$14)*(Assumptions!$D$22/Assumptions!$D$22)*Assumptions!$B$6,0)</f>
        <v/>
      </c>
      <c r="E10" s="29">
        <f>ROUND(Assumptions!$B$5*(Assumptions!$D$11/Assumptions!$D$14)*(Assumptions!$D$21/Assumptions!$D$22)*Assumptions!$B$6,0)</f>
        <v/>
      </c>
      <c r="F10" s="29">
        <f>ROUND(Assumptions!$B$5*(Assumptions!$D$11/Assumptions!$D$14)*(Assumptions!$D$19/Assumptions!$D$22)*Assumptions!$B$6,0)</f>
        <v/>
      </c>
      <c r="G10" s="29">
        <f>ROUND(Assumptions!$B$5*(Assumptions!$D$11/Assumptions!$D$14)*(Assumptions!$D$18/Assumptions!$D$22)*Assumptions!$B$6,0)</f>
        <v/>
      </c>
      <c r="H10" s="29">
        <f>ROUND(Assumptions!$B$5*(Assumptions!$D$11/Assumptions!$D$14)*(Assumptions!$D$20/Assumptions!$D$22)*Assumptions!$B$6,0)</f>
        <v/>
      </c>
    </row>
    <row r="11" ht="20" customHeight="1">
      <c r="A11" s="8" t="inlineStr">
        <is>
          <t>July</t>
        </is>
      </c>
      <c r="B11" s="26">
        <f>ROUND(Assumptions!$B$5*(Assumptions!$D$14/Assumptions!$D$14)*(Assumptions!$D$22/Assumptions!$D$22)*Assumptions!$B$6,0)</f>
        <v/>
      </c>
      <c r="C11" s="26">
        <f>ROUND(Assumptions!$B$5*(Assumptions!$D$14/Assumptions!$D$14)*(Assumptions!$D$22/Assumptions!$D$22)*Assumptions!$B$6,0)</f>
        <v/>
      </c>
      <c r="D11" s="26">
        <f>ROUND(Assumptions!$B$5*(Assumptions!$D$14/Assumptions!$D$14)*(Assumptions!$D$22/Assumptions!$D$22)*Assumptions!$B$6,0)</f>
        <v/>
      </c>
      <c r="E11" s="26">
        <f>ROUND(Assumptions!$B$5*(Assumptions!$D$14/Assumptions!$D$14)*(Assumptions!$D$21/Assumptions!$D$22)*Assumptions!$B$6,0)</f>
        <v/>
      </c>
      <c r="F11" s="26">
        <f>ROUND(Assumptions!$B$5*(Assumptions!$D$14/Assumptions!$D$14)*(Assumptions!$D$19/Assumptions!$D$22)*Assumptions!$B$6,0)</f>
        <v/>
      </c>
      <c r="G11" s="26">
        <f>ROUND(Assumptions!$B$5*(Assumptions!$D$14/Assumptions!$D$14)*(Assumptions!$D$18/Assumptions!$D$22)*Assumptions!$B$6,0)</f>
        <v/>
      </c>
      <c r="H11" s="26">
        <f>ROUND(Assumptions!$B$5*(Assumptions!$D$14/Assumptions!$D$14)*(Assumptions!$D$20/Assumptions!$D$22)*Assumptions!$B$6,0)</f>
        <v/>
      </c>
    </row>
    <row r="12" ht="20" customHeight="1">
      <c r="A12" s="10" t="inlineStr">
        <is>
          <t>August</t>
        </is>
      </c>
      <c r="B12" s="27">
        <f>ROUND(Assumptions!$B$5*(Assumptions!$D$13/Assumptions!$D$14)*(Assumptions!$D$22/Assumptions!$D$22)*Assumptions!$B$6,0)</f>
        <v/>
      </c>
      <c r="C12" s="27">
        <f>ROUND(Assumptions!$B$5*(Assumptions!$D$13/Assumptions!$D$14)*(Assumptions!$D$22/Assumptions!$D$22)*Assumptions!$B$6,0)</f>
        <v/>
      </c>
      <c r="D12" s="27">
        <f>ROUND(Assumptions!$B$5*(Assumptions!$D$13/Assumptions!$D$14)*(Assumptions!$D$22/Assumptions!$D$22)*Assumptions!$B$6,0)</f>
        <v/>
      </c>
      <c r="E12" s="27">
        <f>ROUND(Assumptions!$B$5*(Assumptions!$D$13/Assumptions!$D$14)*(Assumptions!$D$21/Assumptions!$D$22)*Assumptions!$B$6,0)</f>
        <v/>
      </c>
      <c r="F12" s="27">
        <f>ROUND(Assumptions!$B$5*(Assumptions!$D$13/Assumptions!$D$14)*(Assumptions!$D$19/Assumptions!$D$22)*Assumptions!$B$6,0)</f>
        <v/>
      </c>
      <c r="G12" s="27">
        <f>ROUND(Assumptions!$B$5*(Assumptions!$D$13/Assumptions!$D$14)*(Assumptions!$D$18/Assumptions!$D$22)*Assumptions!$B$6,0)</f>
        <v/>
      </c>
      <c r="H12" s="27">
        <f>ROUND(Assumptions!$B$5*(Assumptions!$D$13/Assumptions!$D$14)*(Assumptions!$D$20/Assumptions!$D$22)*Assumptions!$B$6,0)</f>
        <v/>
      </c>
    </row>
    <row r="13" ht="20" customHeight="1">
      <c r="A13" s="10" t="inlineStr">
        <is>
          <t>September</t>
        </is>
      </c>
      <c r="B13" s="27">
        <f>ROUND(Assumptions!$B$5*(Assumptions!$D$13/Assumptions!$D$14)*(Assumptions!$D$22/Assumptions!$D$22)*Assumptions!$B$6,0)</f>
        <v/>
      </c>
      <c r="C13" s="27">
        <f>ROUND(Assumptions!$B$5*(Assumptions!$D$13/Assumptions!$D$14)*(Assumptions!$D$22/Assumptions!$D$22)*Assumptions!$B$6,0)</f>
        <v/>
      </c>
      <c r="D13" s="27">
        <f>ROUND(Assumptions!$B$5*(Assumptions!$D$13/Assumptions!$D$14)*(Assumptions!$D$22/Assumptions!$D$22)*Assumptions!$B$6,0)</f>
        <v/>
      </c>
      <c r="E13" s="27">
        <f>ROUND(Assumptions!$B$5*(Assumptions!$D$13/Assumptions!$D$14)*(Assumptions!$D$21/Assumptions!$D$22)*Assumptions!$B$6,0)</f>
        <v/>
      </c>
      <c r="F13" s="27">
        <f>ROUND(Assumptions!$B$5*(Assumptions!$D$13/Assumptions!$D$14)*(Assumptions!$D$19/Assumptions!$D$22)*Assumptions!$B$6,0)</f>
        <v/>
      </c>
      <c r="G13" s="27">
        <f>ROUND(Assumptions!$B$5*(Assumptions!$D$13/Assumptions!$D$14)*(Assumptions!$D$18/Assumptions!$D$22)*Assumptions!$B$6,0)</f>
        <v/>
      </c>
      <c r="H13" s="27">
        <f>ROUND(Assumptions!$B$5*(Assumptions!$D$13/Assumptions!$D$14)*(Assumptions!$D$20/Assumptions!$D$22)*Assumptions!$B$6,0)</f>
        <v/>
      </c>
    </row>
    <row r="14" ht="20" customHeight="1">
      <c r="A14" s="11" t="inlineStr">
        <is>
          <t>October</t>
        </is>
      </c>
      <c r="B14" s="28">
        <f>ROUND(Assumptions!$B$5*(Assumptions!$D$12/Assumptions!$D$14)*(Assumptions!$D$22/Assumptions!$D$22)*Assumptions!$B$6,0)</f>
        <v/>
      </c>
      <c r="C14" s="28">
        <f>ROUND(Assumptions!$B$5*(Assumptions!$D$12/Assumptions!$D$14)*(Assumptions!$D$22/Assumptions!$D$22)*Assumptions!$B$6,0)</f>
        <v/>
      </c>
      <c r="D14" s="28">
        <f>ROUND(Assumptions!$B$5*(Assumptions!$D$12/Assumptions!$D$14)*(Assumptions!$D$22/Assumptions!$D$22)*Assumptions!$B$6,0)</f>
        <v/>
      </c>
      <c r="E14" s="28">
        <f>ROUND(Assumptions!$B$5*(Assumptions!$D$12/Assumptions!$D$14)*(Assumptions!$D$21/Assumptions!$D$22)*Assumptions!$B$6,0)</f>
        <v/>
      </c>
      <c r="F14" s="28">
        <f>ROUND(Assumptions!$B$5*(Assumptions!$D$12/Assumptions!$D$14)*(Assumptions!$D$19/Assumptions!$D$22)*Assumptions!$B$6,0)</f>
        <v/>
      </c>
      <c r="G14" s="28">
        <f>ROUND(Assumptions!$B$5*(Assumptions!$D$12/Assumptions!$D$14)*(Assumptions!$D$18/Assumptions!$D$22)*Assumptions!$B$6,0)</f>
        <v/>
      </c>
      <c r="H14" s="28">
        <f>ROUND(Assumptions!$B$5*(Assumptions!$D$12/Assumptions!$D$14)*(Assumptions!$D$20/Assumptions!$D$22)*Assumptions!$B$6,0)</f>
        <v/>
      </c>
    </row>
    <row r="15" ht="20" customHeight="1">
      <c r="A15" s="10" t="inlineStr">
        <is>
          <t>November</t>
        </is>
      </c>
      <c r="B15" s="27">
        <f>ROUND(Assumptions!$B$5*(Assumptions!$D$13/Assumptions!$D$14)*(Assumptions!$D$22/Assumptions!$D$22)*Assumptions!$B$6,0)</f>
        <v/>
      </c>
      <c r="C15" s="27">
        <f>ROUND(Assumptions!$B$5*(Assumptions!$D$13/Assumptions!$D$14)*(Assumptions!$D$22/Assumptions!$D$22)*Assumptions!$B$6,0)</f>
        <v/>
      </c>
      <c r="D15" s="27">
        <f>ROUND(Assumptions!$B$5*(Assumptions!$D$13/Assumptions!$D$14)*(Assumptions!$D$22/Assumptions!$D$22)*Assumptions!$B$6,0)</f>
        <v/>
      </c>
      <c r="E15" s="27">
        <f>ROUND(Assumptions!$B$5*(Assumptions!$D$13/Assumptions!$D$14)*(Assumptions!$D$21/Assumptions!$D$22)*Assumptions!$B$6,0)</f>
        <v/>
      </c>
      <c r="F15" s="27">
        <f>ROUND(Assumptions!$B$5*(Assumptions!$D$13/Assumptions!$D$14)*(Assumptions!$D$19/Assumptions!$D$22)*Assumptions!$B$6,0)</f>
        <v/>
      </c>
      <c r="G15" s="27">
        <f>ROUND(Assumptions!$B$5*(Assumptions!$D$13/Assumptions!$D$14)*(Assumptions!$D$18/Assumptions!$D$22)*Assumptions!$B$6,0)</f>
        <v/>
      </c>
      <c r="H15" s="27">
        <f>ROUND(Assumptions!$B$5*(Assumptions!$D$13/Assumptions!$D$14)*(Assumptions!$D$20/Assumptions!$D$22)*Assumptions!$B$6,0)</f>
        <v/>
      </c>
    </row>
    <row r="16" ht="20" customHeight="1">
      <c r="A16" s="11" t="inlineStr">
        <is>
          <t>December</t>
        </is>
      </c>
      <c r="B16" s="28">
        <f>ROUND(Assumptions!$B$5*(Assumptions!$D$12/Assumptions!$D$14)*(Assumptions!$D$22/Assumptions!$D$22)*Assumptions!$B$6,0)</f>
        <v/>
      </c>
      <c r="C16" s="28">
        <f>ROUND(Assumptions!$B$5*(Assumptions!$D$12/Assumptions!$D$14)*(Assumptions!$D$22/Assumptions!$D$22)*Assumptions!$B$6,0)</f>
        <v/>
      </c>
      <c r="D16" s="28">
        <f>ROUND(Assumptions!$B$5*(Assumptions!$D$12/Assumptions!$D$14)*(Assumptions!$D$22/Assumptions!$D$22)*Assumptions!$B$6,0)</f>
        <v/>
      </c>
      <c r="E16" s="28">
        <f>ROUND(Assumptions!$B$5*(Assumptions!$D$12/Assumptions!$D$14)*(Assumptions!$D$21/Assumptions!$D$22)*Assumptions!$B$6,0)</f>
        <v/>
      </c>
      <c r="F16" s="28">
        <f>ROUND(Assumptions!$B$5*(Assumptions!$D$12/Assumptions!$D$14)*(Assumptions!$D$19/Assumptions!$D$22)*Assumptions!$B$6,0)</f>
        <v/>
      </c>
      <c r="G16" s="28">
        <f>ROUND(Assumptions!$B$5*(Assumptions!$D$12/Assumptions!$D$14)*(Assumptions!$D$18/Assumptions!$D$22)*Assumptions!$B$6,0)</f>
        <v/>
      </c>
      <c r="H16" s="28">
        <f>ROUND(Assumptions!$B$5*(Assumptions!$D$12/Assumptions!$D$14)*(Assumptions!$D$20/Assumptions!$D$22)*Assumptions!$B$6,0)</f>
        <v/>
      </c>
    </row>
    <row r="18" ht="16" customHeight="1">
      <c r="A18" s="2" t="inlineStr">
        <is>
          <t>SEASON LEGEND</t>
        </is>
      </c>
    </row>
    <row r="19" ht="20" customHeight="1">
      <c r="A19" s="12" t="inlineStr">
        <is>
          <t>Peak – May, Jun</t>
        </is>
      </c>
      <c r="C19" s="11" t="inlineStr">
        <is>
          <t>High – Mar, Apr, Oct, Dec</t>
        </is>
      </c>
      <c r="E19" s="10" t="inlineStr">
        <is>
          <t>Shoulder – Feb, Aug, Sep, Nov</t>
        </is>
      </c>
      <c r="G19" s="8" t="inlineStr">
        <is>
          <t>Low – Jan, Jul</t>
        </is>
      </c>
    </row>
  </sheetData>
  <mergeCells count="8">
    <mergeCell ref="A18:H18"/>
    <mergeCell ref="A19:B19"/>
    <mergeCell ref="A3:A4"/>
    <mergeCell ref="A2:H2"/>
    <mergeCell ref="C19:D19"/>
    <mergeCell ref="E19:F19"/>
    <mergeCell ref="G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1" t="inlineStr">
        <is>
          <t>SPYGLASS — NIGHTLY RATE MATRIX (USD)</t>
        </is>
      </c>
    </row>
    <row r="2" ht="15" customHeight="1">
      <c r="A2" s="19" t="inlineStr">
        <is>
          <t>All rates are formulas — change Anchor on Assumptions tab to shift everything</t>
        </is>
      </c>
    </row>
    <row r="3" ht="14" customHeight="1">
      <c r="A3" s="20" t="inlineStr">
        <is>
          <t>Month \ DOW</t>
        </is>
      </c>
      <c r="B3" s="21" t="inlineStr">
        <is>
          <t>D1</t>
        </is>
      </c>
      <c r="C3" s="21" t="inlineStr">
        <is>
          <t>D1</t>
        </is>
      </c>
      <c r="D3" s="21" t="inlineStr">
        <is>
          <t>D1</t>
        </is>
      </c>
      <c r="E3" s="22" t="inlineStr">
        <is>
          <t>D2</t>
        </is>
      </c>
      <c r="F3" s="23" t="inlineStr">
        <is>
          <t>D4</t>
        </is>
      </c>
      <c r="G3" s="24" t="inlineStr">
        <is>
          <t>D5</t>
        </is>
      </c>
      <c r="H3" s="25" t="inlineStr">
        <is>
          <t>D3</t>
        </is>
      </c>
    </row>
    <row r="4" ht="22" customHeight="1">
      <c r="B4" s="3" t="inlineStr">
        <is>
          <t>Mon</t>
        </is>
      </c>
      <c r="C4" s="3" t="inlineStr">
        <is>
          <t>Tue</t>
        </is>
      </c>
      <c r="D4" s="3" t="inlineStr">
        <is>
          <t>Wed</t>
        </is>
      </c>
      <c r="E4" s="18" t="inlineStr">
        <is>
          <t>Thu</t>
        </is>
      </c>
      <c r="F4" s="16" t="inlineStr">
        <is>
          <t>Fri</t>
        </is>
      </c>
      <c r="G4" s="15" t="inlineStr">
        <is>
          <t>Sat</t>
        </is>
      </c>
      <c r="H4" s="17" t="inlineStr">
        <is>
          <t>Sun</t>
        </is>
      </c>
    </row>
    <row r="5" ht="20" customHeight="1">
      <c r="A5" s="8" t="inlineStr">
        <is>
          <t>January</t>
        </is>
      </c>
      <c r="B5" s="26">
        <f>ROUND(Assumptions!$B$5*(Assumptions!$D$14/Assumptions!$D$14)*(Assumptions!$D$22/Assumptions!$D$22)*Assumptions!$B$7,0)</f>
        <v/>
      </c>
      <c r="C5" s="26">
        <f>ROUND(Assumptions!$B$5*(Assumptions!$D$14/Assumptions!$D$14)*(Assumptions!$D$22/Assumptions!$D$22)*Assumptions!$B$7,0)</f>
        <v/>
      </c>
      <c r="D5" s="26">
        <f>ROUND(Assumptions!$B$5*(Assumptions!$D$14/Assumptions!$D$14)*(Assumptions!$D$22/Assumptions!$D$22)*Assumptions!$B$7,0)</f>
        <v/>
      </c>
      <c r="E5" s="26">
        <f>ROUND(Assumptions!$B$5*(Assumptions!$D$14/Assumptions!$D$14)*(Assumptions!$D$21/Assumptions!$D$22)*Assumptions!$B$7,0)</f>
        <v/>
      </c>
      <c r="F5" s="26">
        <f>ROUND(Assumptions!$B$5*(Assumptions!$D$14/Assumptions!$D$14)*(Assumptions!$D$19/Assumptions!$D$22)*Assumptions!$B$7,0)</f>
        <v/>
      </c>
      <c r="G5" s="26">
        <f>ROUND(Assumptions!$B$5*(Assumptions!$D$14/Assumptions!$D$14)*(Assumptions!$D$18/Assumptions!$D$22)*Assumptions!$B$7,0)</f>
        <v/>
      </c>
      <c r="H5" s="26">
        <f>ROUND(Assumptions!$B$5*(Assumptions!$D$14/Assumptions!$D$14)*(Assumptions!$D$20/Assumptions!$D$22)*Assumptions!$B$7,0)</f>
        <v/>
      </c>
    </row>
    <row r="6" ht="20" customHeight="1">
      <c r="A6" s="10" t="inlineStr">
        <is>
          <t>February</t>
        </is>
      </c>
      <c r="B6" s="27">
        <f>ROUND(Assumptions!$B$5*(Assumptions!$D$13/Assumptions!$D$14)*(Assumptions!$D$22/Assumptions!$D$22)*Assumptions!$B$7,0)</f>
        <v/>
      </c>
      <c r="C6" s="27">
        <f>ROUND(Assumptions!$B$5*(Assumptions!$D$13/Assumptions!$D$14)*(Assumptions!$D$22/Assumptions!$D$22)*Assumptions!$B$7,0)</f>
        <v/>
      </c>
      <c r="D6" s="27">
        <f>ROUND(Assumptions!$B$5*(Assumptions!$D$13/Assumptions!$D$14)*(Assumptions!$D$22/Assumptions!$D$22)*Assumptions!$B$7,0)</f>
        <v/>
      </c>
      <c r="E6" s="27">
        <f>ROUND(Assumptions!$B$5*(Assumptions!$D$13/Assumptions!$D$14)*(Assumptions!$D$21/Assumptions!$D$22)*Assumptions!$B$7,0)</f>
        <v/>
      </c>
      <c r="F6" s="27">
        <f>ROUND(Assumptions!$B$5*(Assumptions!$D$13/Assumptions!$D$14)*(Assumptions!$D$19/Assumptions!$D$22)*Assumptions!$B$7,0)</f>
        <v/>
      </c>
      <c r="G6" s="27">
        <f>ROUND(Assumptions!$B$5*(Assumptions!$D$13/Assumptions!$D$14)*(Assumptions!$D$18/Assumptions!$D$22)*Assumptions!$B$7,0)</f>
        <v/>
      </c>
      <c r="H6" s="27">
        <f>ROUND(Assumptions!$B$5*(Assumptions!$D$13/Assumptions!$D$14)*(Assumptions!$D$20/Assumptions!$D$22)*Assumptions!$B$7,0)</f>
        <v/>
      </c>
    </row>
    <row r="7" ht="20" customHeight="1">
      <c r="A7" s="11" t="inlineStr">
        <is>
          <t>March</t>
        </is>
      </c>
      <c r="B7" s="28">
        <f>ROUND(Assumptions!$B$5*(Assumptions!$D$12/Assumptions!$D$14)*(Assumptions!$D$22/Assumptions!$D$22)*Assumptions!$B$7,0)</f>
        <v/>
      </c>
      <c r="C7" s="28">
        <f>ROUND(Assumptions!$B$5*(Assumptions!$D$12/Assumptions!$D$14)*(Assumptions!$D$22/Assumptions!$D$22)*Assumptions!$B$7,0)</f>
        <v/>
      </c>
      <c r="D7" s="28">
        <f>ROUND(Assumptions!$B$5*(Assumptions!$D$12/Assumptions!$D$14)*(Assumptions!$D$22/Assumptions!$D$22)*Assumptions!$B$7,0)</f>
        <v/>
      </c>
      <c r="E7" s="28">
        <f>ROUND(Assumptions!$B$5*(Assumptions!$D$12/Assumptions!$D$14)*(Assumptions!$D$21/Assumptions!$D$22)*Assumptions!$B$7,0)</f>
        <v/>
      </c>
      <c r="F7" s="28">
        <f>ROUND(Assumptions!$B$5*(Assumptions!$D$12/Assumptions!$D$14)*(Assumptions!$D$19/Assumptions!$D$22)*Assumptions!$B$7,0)</f>
        <v/>
      </c>
      <c r="G7" s="28">
        <f>ROUND(Assumptions!$B$5*(Assumptions!$D$12/Assumptions!$D$14)*(Assumptions!$D$18/Assumptions!$D$22)*Assumptions!$B$7,0)</f>
        <v/>
      </c>
      <c r="H7" s="28">
        <f>ROUND(Assumptions!$B$5*(Assumptions!$D$12/Assumptions!$D$14)*(Assumptions!$D$20/Assumptions!$D$22)*Assumptions!$B$7,0)</f>
        <v/>
      </c>
    </row>
    <row r="8" ht="20" customHeight="1">
      <c r="A8" s="11" t="inlineStr">
        <is>
          <t>April</t>
        </is>
      </c>
      <c r="B8" s="28">
        <f>ROUND(Assumptions!$B$5*(Assumptions!$D$12/Assumptions!$D$14)*(Assumptions!$D$22/Assumptions!$D$22)*Assumptions!$B$7,0)</f>
        <v/>
      </c>
      <c r="C8" s="28">
        <f>ROUND(Assumptions!$B$5*(Assumptions!$D$12/Assumptions!$D$14)*(Assumptions!$D$22/Assumptions!$D$22)*Assumptions!$B$7,0)</f>
        <v/>
      </c>
      <c r="D8" s="28">
        <f>ROUND(Assumptions!$B$5*(Assumptions!$D$12/Assumptions!$D$14)*(Assumptions!$D$22/Assumptions!$D$22)*Assumptions!$B$7,0)</f>
        <v/>
      </c>
      <c r="E8" s="28">
        <f>ROUND(Assumptions!$B$5*(Assumptions!$D$12/Assumptions!$D$14)*(Assumptions!$D$21/Assumptions!$D$22)*Assumptions!$B$7,0)</f>
        <v/>
      </c>
      <c r="F8" s="28">
        <f>ROUND(Assumptions!$B$5*(Assumptions!$D$12/Assumptions!$D$14)*(Assumptions!$D$19/Assumptions!$D$22)*Assumptions!$B$7,0)</f>
        <v/>
      </c>
      <c r="G8" s="28">
        <f>ROUND(Assumptions!$B$5*(Assumptions!$D$12/Assumptions!$D$14)*(Assumptions!$D$18/Assumptions!$D$22)*Assumptions!$B$7,0)</f>
        <v/>
      </c>
      <c r="H8" s="28">
        <f>ROUND(Assumptions!$B$5*(Assumptions!$D$12/Assumptions!$D$14)*(Assumptions!$D$20/Assumptions!$D$22)*Assumptions!$B$7,0)</f>
        <v/>
      </c>
    </row>
    <row r="9" ht="20" customHeight="1">
      <c r="A9" s="12" t="inlineStr">
        <is>
          <t>May</t>
        </is>
      </c>
      <c r="B9" s="29">
        <f>ROUND(Assumptions!$B$5*(Assumptions!$D$11/Assumptions!$D$14)*(Assumptions!$D$22/Assumptions!$D$22)*Assumptions!$B$7,0)</f>
        <v/>
      </c>
      <c r="C9" s="29">
        <f>ROUND(Assumptions!$B$5*(Assumptions!$D$11/Assumptions!$D$14)*(Assumptions!$D$22/Assumptions!$D$22)*Assumptions!$B$7,0)</f>
        <v/>
      </c>
      <c r="D9" s="29">
        <f>ROUND(Assumptions!$B$5*(Assumptions!$D$11/Assumptions!$D$14)*(Assumptions!$D$22/Assumptions!$D$22)*Assumptions!$B$7,0)</f>
        <v/>
      </c>
      <c r="E9" s="29">
        <f>ROUND(Assumptions!$B$5*(Assumptions!$D$11/Assumptions!$D$14)*(Assumptions!$D$21/Assumptions!$D$22)*Assumptions!$B$7,0)</f>
        <v/>
      </c>
      <c r="F9" s="29">
        <f>ROUND(Assumptions!$B$5*(Assumptions!$D$11/Assumptions!$D$14)*(Assumptions!$D$19/Assumptions!$D$22)*Assumptions!$B$7,0)</f>
        <v/>
      </c>
      <c r="G9" s="29">
        <f>ROUND(Assumptions!$B$5*(Assumptions!$D$11/Assumptions!$D$14)*(Assumptions!$D$18/Assumptions!$D$22)*Assumptions!$B$7,0)</f>
        <v/>
      </c>
      <c r="H9" s="29">
        <f>ROUND(Assumptions!$B$5*(Assumptions!$D$11/Assumptions!$D$14)*(Assumptions!$D$20/Assumptions!$D$22)*Assumptions!$B$7,0)</f>
        <v/>
      </c>
    </row>
    <row r="10" ht="20" customHeight="1">
      <c r="A10" s="12" t="inlineStr">
        <is>
          <t>June</t>
        </is>
      </c>
      <c r="B10" s="29">
        <f>ROUND(Assumptions!$B$5*(Assumptions!$D$11/Assumptions!$D$14)*(Assumptions!$D$22/Assumptions!$D$22)*Assumptions!$B$7,0)</f>
        <v/>
      </c>
      <c r="C10" s="29">
        <f>ROUND(Assumptions!$B$5*(Assumptions!$D$11/Assumptions!$D$14)*(Assumptions!$D$22/Assumptions!$D$22)*Assumptions!$B$7,0)</f>
        <v/>
      </c>
      <c r="D10" s="29">
        <f>ROUND(Assumptions!$B$5*(Assumptions!$D$11/Assumptions!$D$14)*(Assumptions!$D$22/Assumptions!$D$22)*Assumptions!$B$7,0)</f>
        <v/>
      </c>
      <c r="E10" s="29">
        <f>ROUND(Assumptions!$B$5*(Assumptions!$D$11/Assumptions!$D$14)*(Assumptions!$D$21/Assumptions!$D$22)*Assumptions!$B$7,0)</f>
        <v/>
      </c>
      <c r="F10" s="29">
        <f>ROUND(Assumptions!$B$5*(Assumptions!$D$11/Assumptions!$D$14)*(Assumptions!$D$19/Assumptions!$D$22)*Assumptions!$B$7,0)</f>
        <v/>
      </c>
      <c r="G10" s="29">
        <f>ROUND(Assumptions!$B$5*(Assumptions!$D$11/Assumptions!$D$14)*(Assumptions!$D$18/Assumptions!$D$22)*Assumptions!$B$7,0)</f>
        <v/>
      </c>
      <c r="H10" s="29">
        <f>ROUND(Assumptions!$B$5*(Assumptions!$D$11/Assumptions!$D$14)*(Assumptions!$D$20/Assumptions!$D$22)*Assumptions!$B$7,0)</f>
        <v/>
      </c>
    </row>
    <row r="11" ht="20" customHeight="1">
      <c r="A11" s="8" t="inlineStr">
        <is>
          <t>July</t>
        </is>
      </c>
      <c r="B11" s="26">
        <f>ROUND(Assumptions!$B$5*(Assumptions!$D$14/Assumptions!$D$14)*(Assumptions!$D$22/Assumptions!$D$22)*Assumptions!$B$7,0)</f>
        <v/>
      </c>
      <c r="C11" s="26">
        <f>ROUND(Assumptions!$B$5*(Assumptions!$D$14/Assumptions!$D$14)*(Assumptions!$D$22/Assumptions!$D$22)*Assumptions!$B$7,0)</f>
        <v/>
      </c>
      <c r="D11" s="26">
        <f>ROUND(Assumptions!$B$5*(Assumptions!$D$14/Assumptions!$D$14)*(Assumptions!$D$22/Assumptions!$D$22)*Assumptions!$B$7,0)</f>
        <v/>
      </c>
      <c r="E11" s="26">
        <f>ROUND(Assumptions!$B$5*(Assumptions!$D$14/Assumptions!$D$14)*(Assumptions!$D$21/Assumptions!$D$22)*Assumptions!$B$7,0)</f>
        <v/>
      </c>
      <c r="F11" s="26">
        <f>ROUND(Assumptions!$B$5*(Assumptions!$D$14/Assumptions!$D$14)*(Assumptions!$D$19/Assumptions!$D$22)*Assumptions!$B$7,0)</f>
        <v/>
      </c>
      <c r="G11" s="26">
        <f>ROUND(Assumptions!$B$5*(Assumptions!$D$14/Assumptions!$D$14)*(Assumptions!$D$18/Assumptions!$D$22)*Assumptions!$B$7,0)</f>
        <v/>
      </c>
      <c r="H11" s="26">
        <f>ROUND(Assumptions!$B$5*(Assumptions!$D$14/Assumptions!$D$14)*(Assumptions!$D$20/Assumptions!$D$22)*Assumptions!$B$7,0)</f>
        <v/>
      </c>
    </row>
    <row r="12" ht="20" customHeight="1">
      <c r="A12" s="10" t="inlineStr">
        <is>
          <t>August</t>
        </is>
      </c>
      <c r="B12" s="27">
        <f>ROUND(Assumptions!$B$5*(Assumptions!$D$13/Assumptions!$D$14)*(Assumptions!$D$22/Assumptions!$D$22)*Assumptions!$B$7,0)</f>
        <v/>
      </c>
      <c r="C12" s="27">
        <f>ROUND(Assumptions!$B$5*(Assumptions!$D$13/Assumptions!$D$14)*(Assumptions!$D$22/Assumptions!$D$22)*Assumptions!$B$7,0)</f>
        <v/>
      </c>
      <c r="D12" s="27">
        <f>ROUND(Assumptions!$B$5*(Assumptions!$D$13/Assumptions!$D$14)*(Assumptions!$D$22/Assumptions!$D$22)*Assumptions!$B$7,0)</f>
        <v/>
      </c>
      <c r="E12" s="27">
        <f>ROUND(Assumptions!$B$5*(Assumptions!$D$13/Assumptions!$D$14)*(Assumptions!$D$21/Assumptions!$D$22)*Assumptions!$B$7,0)</f>
        <v/>
      </c>
      <c r="F12" s="27">
        <f>ROUND(Assumptions!$B$5*(Assumptions!$D$13/Assumptions!$D$14)*(Assumptions!$D$19/Assumptions!$D$22)*Assumptions!$B$7,0)</f>
        <v/>
      </c>
      <c r="G12" s="27">
        <f>ROUND(Assumptions!$B$5*(Assumptions!$D$13/Assumptions!$D$14)*(Assumptions!$D$18/Assumptions!$D$22)*Assumptions!$B$7,0)</f>
        <v/>
      </c>
      <c r="H12" s="27">
        <f>ROUND(Assumptions!$B$5*(Assumptions!$D$13/Assumptions!$D$14)*(Assumptions!$D$20/Assumptions!$D$22)*Assumptions!$B$7,0)</f>
        <v/>
      </c>
    </row>
    <row r="13" ht="20" customHeight="1">
      <c r="A13" s="10" t="inlineStr">
        <is>
          <t>September</t>
        </is>
      </c>
      <c r="B13" s="27">
        <f>ROUND(Assumptions!$B$5*(Assumptions!$D$13/Assumptions!$D$14)*(Assumptions!$D$22/Assumptions!$D$22)*Assumptions!$B$7,0)</f>
        <v/>
      </c>
      <c r="C13" s="27">
        <f>ROUND(Assumptions!$B$5*(Assumptions!$D$13/Assumptions!$D$14)*(Assumptions!$D$22/Assumptions!$D$22)*Assumptions!$B$7,0)</f>
        <v/>
      </c>
      <c r="D13" s="27">
        <f>ROUND(Assumptions!$B$5*(Assumptions!$D$13/Assumptions!$D$14)*(Assumptions!$D$22/Assumptions!$D$22)*Assumptions!$B$7,0)</f>
        <v/>
      </c>
      <c r="E13" s="27">
        <f>ROUND(Assumptions!$B$5*(Assumptions!$D$13/Assumptions!$D$14)*(Assumptions!$D$21/Assumptions!$D$22)*Assumptions!$B$7,0)</f>
        <v/>
      </c>
      <c r="F13" s="27">
        <f>ROUND(Assumptions!$B$5*(Assumptions!$D$13/Assumptions!$D$14)*(Assumptions!$D$19/Assumptions!$D$22)*Assumptions!$B$7,0)</f>
        <v/>
      </c>
      <c r="G13" s="27">
        <f>ROUND(Assumptions!$B$5*(Assumptions!$D$13/Assumptions!$D$14)*(Assumptions!$D$18/Assumptions!$D$22)*Assumptions!$B$7,0)</f>
        <v/>
      </c>
      <c r="H13" s="27">
        <f>ROUND(Assumptions!$B$5*(Assumptions!$D$13/Assumptions!$D$14)*(Assumptions!$D$20/Assumptions!$D$22)*Assumptions!$B$7,0)</f>
        <v/>
      </c>
    </row>
    <row r="14" ht="20" customHeight="1">
      <c r="A14" s="11" t="inlineStr">
        <is>
          <t>October</t>
        </is>
      </c>
      <c r="B14" s="28">
        <f>ROUND(Assumptions!$B$5*(Assumptions!$D$12/Assumptions!$D$14)*(Assumptions!$D$22/Assumptions!$D$22)*Assumptions!$B$7,0)</f>
        <v/>
      </c>
      <c r="C14" s="28">
        <f>ROUND(Assumptions!$B$5*(Assumptions!$D$12/Assumptions!$D$14)*(Assumptions!$D$22/Assumptions!$D$22)*Assumptions!$B$7,0)</f>
        <v/>
      </c>
      <c r="D14" s="28">
        <f>ROUND(Assumptions!$B$5*(Assumptions!$D$12/Assumptions!$D$14)*(Assumptions!$D$22/Assumptions!$D$22)*Assumptions!$B$7,0)</f>
        <v/>
      </c>
      <c r="E14" s="28">
        <f>ROUND(Assumptions!$B$5*(Assumptions!$D$12/Assumptions!$D$14)*(Assumptions!$D$21/Assumptions!$D$22)*Assumptions!$B$7,0)</f>
        <v/>
      </c>
      <c r="F14" s="28">
        <f>ROUND(Assumptions!$B$5*(Assumptions!$D$12/Assumptions!$D$14)*(Assumptions!$D$19/Assumptions!$D$22)*Assumptions!$B$7,0)</f>
        <v/>
      </c>
      <c r="G14" s="28">
        <f>ROUND(Assumptions!$B$5*(Assumptions!$D$12/Assumptions!$D$14)*(Assumptions!$D$18/Assumptions!$D$22)*Assumptions!$B$7,0)</f>
        <v/>
      </c>
      <c r="H14" s="28">
        <f>ROUND(Assumptions!$B$5*(Assumptions!$D$12/Assumptions!$D$14)*(Assumptions!$D$20/Assumptions!$D$22)*Assumptions!$B$7,0)</f>
        <v/>
      </c>
    </row>
    <row r="15" ht="20" customHeight="1">
      <c r="A15" s="10" t="inlineStr">
        <is>
          <t>November</t>
        </is>
      </c>
      <c r="B15" s="27">
        <f>ROUND(Assumptions!$B$5*(Assumptions!$D$13/Assumptions!$D$14)*(Assumptions!$D$22/Assumptions!$D$22)*Assumptions!$B$7,0)</f>
        <v/>
      </c>
      <c r="C15" s="27">
        <f>ROUND(Assumptions!$B$5*(Assumptions!$D$13/Assumptions!$D$14)*(Assumptions!$D$22/Assumptions!$D$22)*Assumptions!$B$7,0)</f>
        <v/>
      </c>
      <c r="D15" s="27">
        <f>ROUND(Assumptions!$B$5*(Assumptions!$D$13/Assumptions!$D$14)*(Assumptions!$D$22/Assumptions!$D$22)*Assumptions!$B$7,0)</f>
        <v/>
      </c>
      <c r="E15" s="27">
        <f>ROUND(Assumptions!$B$5*(Assumptions!$D$13/Assumptions!$D$14)*(Assumptions!$D$21/Assumptions!$D$22)*Assumptions!$B$7,0)</f>
        <v/>
      </c>
      <c r="F15" s="27">
        <f>ROUND(Assumptions!$B$5*(Assumptions!$D$13/Assumptions!$D$14)*(Assumptions!$D$19/Assumptions!$D$22)*Assumptions!$B$7,0)</f>
        <v/>
      </c>
      <c r="G15" s="27">
        <f>ROUND(Assumptions!$B$5*(Assumptions!$D$13/Assumptions!$D$14)*(Assumptions!$D$18/Assumptions!$D$22)*Assumptions!$B$7,0)</f>
        <v/>
      </c>
      <c r="H15" s="27">
        <f>ROUND(Assumptions!$B$5*(Assumptions!$D$13/Assumptions!$D$14)*(Assumptions!$D$20/Assumptions!$D$22)*Assumptions!$B$7,0)</f>
        <v/>
      </c>
    </row>
    <row r="16" ht="20" customHeight="1">
      <c r="A16" s="11" t="inlineStr">
        <is>
          <t>December</t>
        </is>
      </c>
      <c r="B16" s="28">
        <f>ROUND(Assumptions!$B$5*(Assumptions!$D$12/Assumptions!$D$14)*(Assumptions!$D$22/Assumptions!$D$22)*Assumptions!$B$7,0)</f>
        <v/>
      </c>
      <c r="C16" s="28">
        <f>ROUND(Assumptions!$B$5*(Assumptions!$D$12/Assumptions!$D$14)*(Assumptions!$D$22/Assumptions!$D$22)*Assumptions!$B$7,0)</f>
        <v/>
      </c>
      <c r="D16" s="28">
        <f>ROUND(Assumptions!$B$5*(Assumptions!$D$12/Assumptions!$D$14)*(Assumptions!$D$22/Assumptions!$D$22)*Assumptions!$B$7,0)</f>
        <v/>
      </c>
      <c r="E16" s="28">
        <f>ROUND(Assumptions!$B$5*(Assumptions!$D$12/Assumptions!$D$14)*(Assumptions!$D$21/Assumptions!$D$22)*Assumptions!$B$7,0)</f>
        <v/>
      </c>
      <c r="F16" s="28">
        <f>ROUND(Assumptions!$B$5*(Assumptions!$D$12/Assumptions!$D$14)*(Assumptions!$D$19/Assumptions!$D$22)*Assumptions!$B$7,0)</f>
        <v/>
      </c>
      <c r="G16" s="28">
        <f>ROUND(Assumptions!$B$5*(Assumptions!$D$12/Assumptions!$D$14)*(Assumptions!$D$18/Assumptions!$D$22)*Assumptions!$B$7,0)</f>
        <v/>
      </c>
      <c r="H16" s="28">
        <f>ROUND(Assumptions!$B$5*(Assumptions!$D$12/Assumptions!$D$14)*(Assumptions!$D$20/Assumptions!$D$22)*Assumptions!$B$7,0)</f>
        <v/>
      </c>
    </row>
    <row r="18" ht="16" customHeight="1">
      <c r="A18" s="2" t="inlineStr">
        <is>
          <t>SEASON LEGEND</t>
        </is>
      </c>
    </row>
    <row r="19" ht="20" customHeight="1">
      <c r="A19" s="12" t="inlineStr">
        <is>
          <t>Peak – May, Jun</t>
        </is>
      </c>
      <c r="C19" s="11" t="inlineStr">
        <is>
          <t>High – Mar, Apr, Oct, Dec</t>
        </is>
      </c>
      <c r="E19" s="10" t="inlineStr">
        <is>
          <t>Shoulder – Feb, Aug, Sep, Nov</t>
        </is>
      </c>
      <c r="G19" s="8" t="inlineStr">
        <is>
          <t>Low – Jan, Jul</t>
        </is>
      </c>
    </row>
  </sheetData>
  <mergeCells count="8">
    <mergeCell ref="A18:H18"/>
    <mergeCell ref="A19:B19"/>
    <mergeCell ref="A3:A4"/>
    <mergeCell ref="A2:H2"/>
    <mergeCell ref="C19:D19"/>
    <mergeCell ref="E19:F19"/>
    <mergeCell ref="G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2026-04-21T11:09:09Z</dcterms:created>
  <dcterms:modified xsi:type="dcterms:W3CDTF">2026-04-21T11:09:09Z</dcterms:modified>
</cp:coreProperties>
</file>